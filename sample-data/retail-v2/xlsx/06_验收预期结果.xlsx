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d7832d11e544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风险预期" sheetId="1" r:id="R3f6b5dec933f4831"/>
    <x:sheet xmlns:r="http://schemas.openxmlformats.org/officeDocument/2006/relationships" name="进度预期" sheetId="2" r:id="Rf0cb791c37ac4674"/>
    <x:sheet xmlns:r="http://schemas.openxmlformats.org/officeDocument/2006/relationships" name="金额复算" sheetId="3" r:id="R184a0d792a2e47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##"/>
    <x:numFmt numFmtId="201" formatCode="#,##0.00"/>
  </x:numFmts>
  <x:fonts count="6">
    <x:font>
      <x:sz val="11"/>
      <x:name val="Carlito"/>
    </x:font>
    <x:font>
      <x:sz val="10"/>
      <x:color rgb="FF183C32"/>
      <x:name val="Arial"/>
    </x:font>
    <x:font>
      <x:b/>
      <x:sz val="10"/>
      <x:color rgb="FFFFFFFF"/>
      <x:name val="Arial"/>
    </x:font>
    <x:font>
      <x:sz val="11"/>
      <x:color rgb="FF183C32"/>
      <x:name val="Arial"/>
    </x:font>
    <x:font>
      <x:b/>
      <x:sz val="11"/>
      <x:color rgb="FFFFFFFF"/>
      <x:name val="Arial"/>
    </x:font>
    <x:font>
      <x:sz val="11"/>
      <x:color rgb="FF245FA4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6A52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201" fontId="3" fillId="0" borderId="0" xfId="0" applyNumberFormat="1" applyFont="1" applyFill="1" applyBorder="1"/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f4d51bc7a5491c" /><Relationship Type="http://schemas.openxmlformats.org/officeDocument/2006/relationships/theme" Target="/xl/theme/theme1.xml" Id="Rf231697835114765" /><Relationship Type="http://schemas.openxmlformats.org/officeDocument/2006/relationships/sharedStrings" Target="/xl/sharedStrings.xml" Id="Ra6b291f1cb964e50" /><Relationship Type="http://schemas.openxmlformats.org/officeDocument/2006/relationships/worksheet" Target="/xl/worksheets/sheet1.xml" Id="R3f6b5dec933f4831" /><Relationship Type="http://schemas.openxmlformats.org/officeDocument/2006/relationships/worksheet" Target="/xl/worksheets/sheet2.xml" Id="Rf0cb791c37ac4674" /><Relationship Type="http://schemas.openxmlformats.org/officeDocument/2006/relationships/worksheet" Target="/xl/worksheets/sheet3.xml" Id="R184a0d792a2e47e2" /></Relationships>
</file>

<file path=xl/tables/table1.xml><?xml version="1.0" encoding="utf-8"?>
<x:table xmlns:x="http://schemas.openxmlformats.org/spreadsheetml/2006/main" id="1" name="Data_38" displayName="Data_38" ref="A1:H8" headerRowCount="1" totalsRowCount="0" totalsRowShown="0">
  <x:autoFilter ref="A1:H8"/>
  <x:tableColumns count="8">
    <x:tableColumn id="1" name="scenario_id"/>
    <x:tableColumn id="2" name="branch_id"/>
    <x:tableColumn id="3" name="coverage_days"/>
    <x:tableColumn id="4" name="remaining_sellable_days"/>
    <x:tableColumn id="5" name="slow_result"/>
    <x:tableColumn id="6" name="expiry_result"/>
    <x:tableColumn id="7" name="risk_cost_once"/>
    <x:tableColumn id="8" name="missing_or_check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Data_39" displayName="Data_39" ref="A1:L4" headerRowCount="1" totalsRowCount="0" totalsRowShown="0">
  <x:autoFilter ref="A1:L4"/>
  <x:tableColumns count="12">
    <x:tableColumn id="1" name="scenario_id"/>
    <x:tableColumn id="2" name="branch_id"/>
    <x:tableColumn id="3" name="as_of"/>
    <x:tableColumn id="4" name="execution_status"/>
    <x:tableColumn id="5" name="result_status"/>
    <x:tableColumn id="6" name="shipped_qty"/>
    <x:tableColumn id="7" name="received_qty"/>
    <x:tableColumn id="8" name="sold_transferred_qty"/>
    <x:tableColumn id="9" name="collected_amount"/>
    <x:tableColumn id="10" name="unmatched_amount"/>
    <x:tableColumn id="11" name="remaining_unexecuted_qty"/>
    <x:tableColumn id="12" name="attention_reason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9f11b5e9d3d433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edc4b378d2c42c1" /></Relationships>
</file>

<file path=xl/worksheets/sheet1.xml><?xml version="1.0" encoding="utf-8"?>
<x:worksheet xmlns:x="http://schemas.openxmlformats.org/spreadsheetml/2006/main">
  <x:sheetPr>
    <x:tabColor rgb="FFAC7B34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16" hidden="0" customWidth="1"/>
    <x:col min="3" max="3" width="15" hidden="0" customWidth="1"/>
    <x:col min="4" max="4" width="25" hidden="0" customWidth="1"/>
    <x:col min="5" max="5" width="15" hidden="0" customWidth="1"/>
    <x:col min="6" max="6" width="15" hidden="0" customWidth="1"/>
    <x:col min="7" max="7" width="16" hidden="0" customWidth="1"/>
    <x:col min="8" max="8" width="32" hidden="0" customWidth="1"/>
  </x:cols>
  <x:sheetData>
    <x:row r="1" ht="30" customHeight="1">
      <x:c r="A1" s="5" t="str">
        <x:v>scenario_id</x:v>
      </x:c>
      <x:c r="B1" s="5" t="str">
        <x:v>branch_id</x:v>
      </x:c>
      <x:c r="C1" s="5" t="str">
        <x:v>coverage_days</x:v>
      </x:c>
      <x:c r="D1" s="5" t="str">
        <x:v>remaining_sellable_days</x:v>
      </x:c>
      <x:c r="E1" s="5" t="str">
        <x:v>slow_result</x:v>
      </x:c>
      <x:c r="F1" s="5" t="str">
        <x:v>expiry_result</x:v>
      </x:c>
      <x:c r="G1" s="5" t="str">
        <x:v>risk_cost_once</x:v>
      </x:c>
      <x:c r="H1" s="5" t="str">
        <x:v>missing_or_check</x:v>
      </x:c>
    </x:row>
    <x:row r="2" ht="21" customHeight="1">
      <x:c r="A2" s="2" t="str">
        <x:v>S02</x:v>
      </x:c>
      <x:c r="B2" s="2" t="str">
        <x:v>overlap</x:v>
      </x:c>
      <x:c r="C2" s="7" t="n">
        <x:v>100</x:v>
      </x:c>
      <x:c r="D2" s="7" t="n">
        <x:v>10</x:v>
      </x:c>
      <x:c r="E2" s="2" t="str">
        <x:v>risk</x:v>
      </x:c>
      <x:c r="F2" s="2" t="str">
        <x:v>risk</x:v>
      </x:c>
      <x:c r="G2" s="9" t="n">
        <x:v>8000</x:v>
      </x:c>
      <x:c r="H2" s="2"/>
    </x:row>
    <x:row r="3" ht="21" customHeight="1">
      <x:c r="A3" s="2" t="str">
        <x:v>S10</x:v>
      </x:c>
      <x:c r="B3" s="2" t="str">
        <x:v>only_slow</x:v>
      </x:c>
      <x:c r="C3" s="7" t="n">
        <x:v>90</x:v>
      </x:c>
      <x:c r="D3" s="7" t="n">
        <x:v>120</x:v>
      </x:c>
      <x:c r="E3" s="2" t="str">
        <x:v>risk</x:v>
      </x:c>
      <x:c r="F3" s="2" t="str">
        <x:v>normal</x:v>
      </x:c>
      <x:c r="G3" s="9" t="n">
        <x:v>5400</x:v>
      </x:c>
      <x:c r="H3" s="2"/>
    </x:row>
    <x:row r="4" ht="21" customHeight="1">
      <x:c r="A4" s="2" t="str">
        <x:v>S03</x:v>
      </x:c>
      <x:c r="B4" s="2" t="str">
        <x:v>only_expiry</x:v>
      </x:c>
      <x:c r="C4" s="7" t="n">
        <x:v>6</x:v>
      </x:c>
      <x:c r="D4" s="7" t="n">
        <x:v>10</x:v>
      </x:c>
      <x:c r="E4" s="2" t="str">
        <x:v>normal</x:v>
      </x:c>
      <x:c r="F4" s="2" t="str">
        <x:v>risk</x:v>
      </x:c>
      <x:c r="G4" s="9" t="n">
        <x:v>2400</x:v>
      </x:c>
      <x:c r="H4" s="2"/>
    </x:row>
    <x:row r="5" ht="21" customHeight="1">
      <x:c r="A5" s="2" t="str">
        <x:v>S10</x:v>
      </x:c>
      <x:c r="B5" s="2" t="str">
        <x:v>normal</x:v>
      </x:c>
      <x:c r="C5" s="7" t="n">
        <x:v>10</x:v>
      </x:c>
      <x:c r="D5" s="7" t="n">
        <x:v>120</x:v>
      </x:c>
      <x:c r="E5" s="2" t="str">
        <x:v>normal</x:v>
      </x:c>
      <x:c r="F5" s="2" t="str">
        <x:v>normal</x:v>
      </x:c>
      <x:c r="G5" s="9" t="n">
        <x:v>0</x:v>
      </x:c>
      <x:c r="H5" s="2"/>
    </x:row>
    <x:row r="6" ht="21" customHeight="1">
      <x:c r="A6" s="2" t="str">
        <x:v>S10</x:v>
      </x:c>
      <x:c r="B6" s="2" t="str">
        <x:v>missing_sales</x:v>
      </x:c>
      <x:c r="C6" s="7"/>
      <x:c r="D6" s="7" t="n">
        <x:v>120</x:v>
      </x:c>
      <x:c r="E6" s="2" t="str">
        <x:v>unknown</x:v>
      </x:c>
      <x:c r="F6" s="2" t="str">
        <x:v>normal</x:v>
      </x:c>
      <x:c r="G6" s="9"/>
      <x:c r="H6" s="2" t="str">
        <x:v>sales_or_effective_observation</x:v>
      </x:c>
    </x:row>
    <x:row r="7" ht="21" customHeight="1">
      <x:c r="A7" s="2" t="str">
        <x:v>S10</x:v>
      </x:c>
      <x:c r="B7" s="2" t="str">
        <x:v>missing_expiry</x:v>
      </x:c>
      <x:c r="C7" s="7" t="n">
        <x:v>10</x:v>
      </x:c>
      <x:c r="D7" s="7"/>
      <x:c r="E7" s="2" t="str">
        <x:v>normal</x:v>
      </x:c>
      <x:c r="F7" s="2" t="str">
        <x:v>unknown</x:v>
      </x:c>
      <x:c r="G7" s="9"/>
      <x:c r="H7" s="2" t="str">
        <x:v>sellable_until</x:v>
      </x:c>
    </x:row>
    <x:row r="8" ht="21" customHeight="1">
      <x:c r="A8" s="2" t="str">
        <x:v>S08</x:v>
      </x:c>
      <x:c r="B8" s="2" t="str">
        <x:v>unlisted</x:v>
      </x:c>
      <x:c r="C8" s="7"/>
      <x:c r="D8" s="7" t="n">
        <x:v>240</x:v>
      </x:c>
      <x:c r="E8" s="2" t="str">
        <x:v>unknown</x:v>
      </x:c>
      <x:c r="F8" s="2" t="str">
        <x:v>normal</x:v>
      </x:c>
      <x:c r="G8" s="9"/>
      <x:c r="H8" s="2" t="str">
        <x:v>sales_or_effective_observation</x:v>
      </x:c>
    </x:row>
  </x:sheetData>
  <x:pageMargins left="0.7" right="0.7" top="0.75" bottom="0.75" header="0.3" footer="0.3"/>
  <x:tableParts count="1">
    <x:tablePart xmlns:r="http://schemas.openxmlformats.org/officeDocument/2006/relationships" r:id="R39f11b5e9d3d4334"/>
  </x:tableParts>
</x:worksheet>
</file>

<file path=xl/worksheets/sheet2.xml><?xml version="1.0" encoding="utf-8"?>
<x:worksheet xmlns:x="http://schemas.openxmlformats.org/spreadsheetml/2006/main">
  <x:sheetPr>
    <x:tabColor rgb="FFAC7B34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18" hidden="0" customWidth="1"/>
    <x:col min="3" max="3" width="27" hidden="0" customWidth="1"/>
    <x:col min="4" max="4" width="18" hidden="0" customWidth="1"/>
    <x:col min="5" max="5" width="15" hidden="0" customWidth="1"/>
    <x:col min="6" max="6" width="15" hidden="0" customWidth="1"/>
    <x:col min="7" max="7" width="15" hidden="0" customWidth="1"/>
    <x:col min="8" max="8" width="22" hidden="0" customWidth="1"/>
    <x:col min="9" max="9" width="18" hidden="0" customWidth="1"/>
    <x:col min="10" max="10" width="18" hidden="0" customWidth="1"/>
    <x:col min="11" max="11" width="26" hidden="0" customWidth="1"/>
    <x:col min="12" max="12" width="37" hidden="0" customWidth="1"/>
  </x:cols>
  <x:sheetData>
    <x:row r="1" ht="30" customHeight="1">
      <x:c r="A1" s="5" t="str">
        <x:v>scenario_id</x:v>
      </x:c>
      <x:c r="B1" s="5" t="str">
        <x:v>branch_id</x:v>
      </x:c>
      <x:c r="C1" s="5" t="str">
        <x:v>as_of</x:v>
      </x:c>
      <x:c r="D1" s="5" t="str">
        <x:v>execution_status</x:v>
      </x:c>
      <x:c r="E1" s="5" t="str">
        <x:v>result_status</x:v>
      </x:c>
      <x:c r="F1" s="5" t="str">
        <x:v>shipped_qty</x:v>
      </x:c>
      <x:c r="G1" s="5" t="str">
        <x:v>received_qty</x:v>
      </x:c>
      <x:c r="H1" s="5" t="str">
        <x:v>sold_transferred_qty</x:v>
      </x:c>
      <x:c r="I1" s="5" t="str">
        <x:v>collected_amount</x:v>
      </x:c>
      <x:c r="J1" s="5" t="str">
        <x:v>unmatched_amount</x:v>
      </x:c>
      <x:c r="K1" s="5" t="str">
        <x:v>remaining_unexecuted_qty</x:v>
      </x:c>
      <x:c r="L1" s="5" t="str">
        <x:v>attention_reason</x:v>
      </x:c>
    </x:row>
    <x:row r="2" ht="21" customHeight="1">
      <x:c r="A2" s="2" t="str">
        <x:v>S01</x:v>
      </x:c>
      <x:c r="B2" s="2" t="str">
        <x:v>transfer_80</x:v>
      </x:c>
      <x:c r="C2" s="2" t="str">
        <x:v>2026-10-04T12:00:00+08:00</x:v>
      </x:c>
      <x:c r="D2" s="2" t="str">
        <x:v>completed</x:v>
      </x:c>
      <x:c r="E2" s="2" t="str">
        <x:v>pending</x:v>
      </x:c>
      <x:c r="F2" s="7" t="n">
        <x:v>80</x:v>
      </x:c>
      <x:c r="G2" s="7" t="n">
        <x:v>80</x:v>
      </x:c>
      <x:c r="H2" s="7" t="n">
        <x:v>0</x:v>
      </x:c>
      <x:c r="I2" s="9" t="n">
        <x:v>0</x:v>
      </x:c>
      <x:c r="J2" s="9" t="n">
        <x:v>0</x:v>
      </x:c>
      <x:c r="K2" s="7" t="n">
        <x:v>0</x:v>
      </x:c>
      <x:c r="L2" s="2" t="str">
        <x:v>等待观察期结束及销售结算</x:v>
      </x:c>
    </x:row>
    <x:row r="3" ht="21" customHeight="1">
      <x:c r="A3" s="2" t="str">
        <x:v>S09</x:v>
      </x:c>
      <x:c r="B3" s="2" t="str">
        <x:v>partial_transfer</x:v>
      </x:c>
      <x:c r="C3" s="2" t="str">
        <x:v>2026-10-19T10:00:00+08:00</x:v>
      </x:c>
      <x:c r="D3" s="2" t="str">
        <x:v>in_progress</x:v>
      </x:c>
      <x:c r="E3" s="2" t="str">
        <x:v>in_progress</x:v>
      </x:c>
      <x:c r="F3" s="7" t="n">
        <x:v>60</x:v>
      </x:c>
      <x:c r="G3" s="7" t="n">
        <x:v>60</x:v>
      </x:c>
      <x:c r="H3" s="7" t="n">
        <x:v>40</x:v>
      </x:c>
      <x:c r="I3" s="9" t="n">
        <x:v>3000</x:v>
      </x:c>
      <x:c r="J3" s="9" t="n">
        <x:v>1000</x:v>
      </x:c>
      <x:c r="K3" s="7" t="n">
        <x:v>20</x:v>
      </x:c>
      <x:c r="L3" s="2" t="str">
        <x:v>20盒未发；1000元销售款未到账</x:v>
      </x:c>
    </x:row>
    <x:row r="4" ht="21" customHeight="1">
      <x:c r="A4" s="2" t="str">
        <x:v>S05</x:v>
      </x:c>
      <x:c r="B4" s="2" t="str">
        <x:v>exchange</x:v>
      </x:c>
      <x:c r="C4" s="2" t="str">
        <x:v>2026-10-12T10:00:00+08:00</x:v>
      </x:c>
      <x:c r="D4" s="2" t="str">
        <x:v>completed</x:v>
      </x:c>
      <x:c r="E4" s="2" t="str">
        <x:v>completed</x:v>
      </x:c>
      <x:c r="F4" s="7" t="n">
        <x:v>100</x:v>
      </x:c>
      <x:c r="G4" s="7" t="n">
        <x:v>100</x:v>
      </x:c>
      <x:c r="H4" s="7" t="n">
        <x:v>0</x:v>
      </x:c>
      <x:c r="I4" s="9" t="n">
        <x:v>0</x:v>
      </x:c>
      <x:c r="J4" s="9" t="n">
        <x:v>0</x:v>
      </x:c>
      <x:c r="K4" s="7" t="n">
        <x:v>0</x:v>
      </x:c>
      <x:c r="L4" s="2" t="str">
        <x:v>换入商品凭据已核对；不产生900元退款</x:v>
      </x:c>
    </x:row>
  </x:sheetData>
  <x:pageMargins left="0.7" right="0.7" top="0.75" bottom="0.75" header="0.3" footer="0.3"/>
  <x:tableParts count="1">
    <x:tablePart xmlns:r="http://schemas.openxmlformats.org/officeDocument/2006/relationships" r:id="Reedc4b378d2c42c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7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64" hidden="0" customWidth="1"/>
  </x:cols>
  <x:sheetData>
    <x:row r="1" ht="28" customHeight="1">
      <x:c r="A1" s="12" t="str">
        <x:v>场景</x:v>
      </x:c>
      <x:c r="B1" s="12" t="str">
        <x:v>指标</x:v>
      </x:c>
      <x:c r="C1" s="12" t="str">
        <x:v>输入1</x:v>
      </x:c>
      <x:c r="D1" s="12" t="str">
        <x:v>输入2</x:v>
      </x:c>
      <x:c r="E1" s="12" t="str">
        <x:v>输入3</x:v>
      </x:c>
      <x:c r="F1" s="12" t="str">
        <x:v>结果</x:v>
      </x:c>
      <x:c r="G1" s="12" t="str">
        <x:v>口径</x:v>
      </x:c>
    </x:row>
    <x:row r="2" ht="28" customHeight="1">
      <x:c r="A2" s="10" t="str">
        <x:v>S01</x:v>
      </x:c>
      <x:c r="B2" s="10" t="str">
        <x:v>已调拨批次销售回款</x:v>
      </x:c>
      <x:c r="C2" s="14" t="n">
        <x:v>64</x:v>
      </x:c>
      <x:c r="D2" s="14" t="n">
        <x:v>100</x:v>
      </x:c>
      <x:c r="E2" s="14"/>
      <x:c r="F2" s="13" t="n">
        <x:f>C2*D2</x:f>
        <x:v>6400</x:v>
      </x:c>
      <x:c r="G2" s="10" t="str">
        <x:v>64盒×100元；仅已匹配现金</x:v>
      </x:c>
    </x:row>
    <x:row r="3" ht="28" customHeight="1">
      <x:c r="A3" s="10" t="str">
        <x:v>S01</x:v>
      </x:c>
      <x:c r="B3" s="10" t="str">
        <x:v>已售成本</x:v>
      </x:c>
      <x:c r="C3" s="14" t="n">
        <x:v>64</x:v>
      </x:c>
      <x:c r="D3" s="14" t="n">
        <x:v>80</x:v>
      </x:c>
      <x:c r="E3" s="14"/>
      <x:c r="F3" s="13" t="n">
        <x:f>C3*D3</x:f>
        <x:v>5120</x:v>
      </x:c>
      <x:c r="G3" s="10" t="str">
        <x:v>不能与回款累加为收益</x:v>
      </x:c>
    </x:row>
    <x:row r="4" ht="28" customHeight="1">
      <x:c r="A4" s="10" t="str">
        <x:v>S01</x:v>
      </x:c>
      <x:c r="B4" s="10" t="str">
        <x:v>商品毛利</x:v>
      </x:c>
      <x:c r="C4" s="14"/>
      <x:c r="D4" s="14"/>
      <x:c r="E4" s="14"/>
      <x:c r="F4" s="13" t="n">
        <x:f>F2-F3</x:f>
        <x:v>1280</x:v>
      </x:c>
      <x:c r="G4" s="10" t="str">
        <x:v>收入减已售成本</x:v>
      </x:c>
    </x:row>
    <x:row r="5" ht="28" customHeight="1">
      <x:c r="A5" s="10" t="str">
        <x:v>S01</x:v>
      </x:c>
      <x:c r="B5" s="10" t="str">
        <x:v>扣运费贡献</x:v>
      </x:c>
      <x:c r="C5" s="14" t="n">
        <x:v>24</x:v>
      </x:c>
      <x:c r="D5" s="14"/>
      <x:c r="E5" s="14"/>
      <x:c r="F5" s="13" t="n">
        <x:f>F4-C5</x:f>
        <x:v>1256</x:v>
      </x:c>
      <x:c r="G5" s="10" t="str">
        <x:v>未扣房租人工；不是增量利润</x:v>
      </x:c>
    </x:row>
    <x:row r="6" ht="28" customHeight="1">
      <x:c r="A6" s="10" t="str">
        <x:v>S01</x:v>
      </x:c>
      <x:c r="B6" s="10" t="str">
        <x:v>原批次剩余库存成本</x:v>
      </x:c>
      <x:c r="C6" s="14" t="n">
        <x:v>40</x:v>
      </x:c>
      <x:c r="D6" s="14" t="n">
        <x:v>16</x:v>
      </x:c>
      <x:c r="E6" s="14" t="n">
        <x:v>80</x:v>
      </x:c>
      <x:c r="F6" s="13" t="n">
        <x:f>(C6+D6)*E6</x:f>
        <x:v>4480</x:v>
      </x:c>
      <x:c r="G6" s="10" t="str">
        <x:v>原店40+目标店16；排除目标店原有批次</x:v>
      </x:c>
    </x:row>
    <x:row r="7" ht="28" customHeight="1">
      <x:c r="A7" s="10" t="str">
        <x:v>S01</x:v>
      </x:c>
      <x:c r="B7" s="10" t="str">
        <x:v>所列回放流水净额</x:v>
      </x:c>
      <x:c r="C7" s="14" t="n">
        <x:v>1000</x:v>
      </x:c>
      <x:c r="D7" s="14"/>
      <x:c r="E7" s="14"/>
      <x:c r="F7" s="13" t="n">
        <x:f>F2-C5+C7</x:f>
        <x:v>7376</x:v>
      </x:c>
      <x:c r="G7" s="10" t="str">
        <x:v>含原有批次回款1000；不含其他采购等背景流水</x:v>
      </x:c>
    </x:row>
    <x:row r="8" ht="28" customHeight="1">
      <x:c r="A8" s="10" t="str">
        <x:v>S07</x:v>
      </x:c>
      <x:c r="B8" s="10" t="str">
        <x:v>评估期需求</x:v>
      </x:c>
      <x:c r="C8" s="14" t="n">
        <x:v>10</x:v>
      </x:c>
      <x:c r="D8" s="14" t="n">
        <x:v>14</x:v>
      </x:c>
      <x:c r="E8" s="14"/>
      <x:c r="F8" s="13" t="n">
        <x:f>C8*D8</x:f>
        <x:v>140</x:v>
      </x:c>
      <x:c r="G8" s="10" t="str">
        <x:v>10月3日至16日；到货日须逐日复算</x:v>
      </x:c>
    </x:row>
    <x:row r="9" ht="28" customHeight="1">
      <x:c r="A9" s="10" t="str">
        <x:v>S07</x:v>
      </x:c>
      <x:c r="B9" s="10" t="str">
        <x:v>建议采购数量</x:v>
      </x:c>
      <x:c r="C9" s="14" t="n">
        <x:v>120</x:v>
      </x:c>
      <x:c r="D9" s="14" t="n">
        <x:v>30</x:v>
      </x:c>
      <x:c r="E9" s="14" t="n">
        <x:v>70</x:v>
      </x:c>
      <x:c r="F9" s="13" t="n">
        <x:f>MAX(0,F8+E9-C9-D9)</x:f>
        <x:v>60</x:v>
      </x:c>
      <x:c r="G9" s="10" t="str">
        <x:v>需求+期末安全量-现货-已确认在途；步长10</x:v>
      </x:c>
    </x:row>
    <x:row r="10" ht="28" customHeight="1">
      <x:c r="A10" s="10" t="str">
        <x:v>S07</x:v>
      </x:c>
      <x:c r="B10" s="10" t="str">
        <x:v>原意向付款</x:v>
      </x:c>
      <x:c r="C10" s="14" t="n">
        <x:v>100</x:v>
      </x:c>
      <x:c r="D10" s="14" t="n">
        <x:v>40</x:v>
      </x:c>
      <x:c r="E10" s="14"/>
      <x:c r="F10" s="13" t="n">
        <x:f>C10*D10</x:f>
        <x:v>4000</x:v>
      </x:c>
      <x:c r="G10" s="10" t="str">
        <x:v>原意向尚未下单；作为冻结比较基线</x:v>
      </x:c>
    </x:row>
    <x:row r="11" ht="28" customHeight="1">
      <x:c r="A11" s="10" t="str">
        <x:v>S07</x:v>
      </x:c>
      <x:c r="B11" s="10" t="str">
        <x:v>调整后付款</x:v>
      </x:c>
      <x:c r="C11" s="14" t="n">
        <x:v>40</x:v>
      </x:c>
      <x:c r="D11" s="14"/>
      <x:c r="E11" s="14"/>
      <x:c r="F11" s="13" t="n">
        <x:f>F9*C11</x:f>
        <x:v>2400</x:v>
      </x:c>
      <x:c r="G11" s="10" t="str">
        <x:v>需实际订单确认及付款回执</x:v>
      </x:c>
    </x:row>
    <x:row r="12" ht="28" customHeight="1">
      <x:c r="A12" s="10" t="str">
        <x:v>S07</x:v>
      </x:c>
      <x:c r="B12" s="10" t="str">
        <x:v>预计少付采购款</x:v>
      </x:c>
      <x:c r="C12" s="14"/>
      <x:c r="D12" s="14"/>
      <x:c r="E12" s="14"/>
      <x:c r="F12" s="13" t="n">
        <x:f>F10-F11</x:f>
        <x:v>1600</x:v>
      </x:c>
      <x:c r="G12" s="10" t="str">
        <x:v>同周期计划差额；不是销售收入</x:v>
      </x:c>
    </x:row>
    <x:row r="13" ht="28" customHeight="1">
      <x:c r="A13" s="10" t="str">
        <x:v>S05退款</x:v>
      </x:c>
      <x:c r="B13" s="10" t="str">
        <x:v>实际净现金</x:v>
      </x:c>
      <x:c r="C13" s="14" t="n">
        <x:v>900</x:v>
      </x:c>
      <x:c r="D13" s="14" t="n">
        <x:v>30</x:v>
      </x:c>
      <x:c r="E13" s="14"/>
      <x:c r="F13" s="13" t="n">
        <x:f>C13-D13</x:f>
        <x:v>870</x:v>
      </x:c>
      <x:c r="G13" s="10" t="str">
        <x:v>退款到账900减运费30</x:v>
      </x:c>
    </x:row>
    <x:row r="14" ht="28" customHeight="1">
      <x:c r="A14" s="10" t="str">
        <x:v>S05抵款</x:v>
      </x:c>
      <x:c r="B14" s="10" t="str">
        <x:v>使用信用后付款</x:v>
      </x:c>
      <x:c r="C14" s="14" t="n">
        <x:v>2000</x:v>
      </x:c>
      <x:c r="D14" s="14" t="n">
        <x:v>900</x:v>
      </x:c>
      <x:c r="E14" s="14"/>
      <x:c r="F14" s="13" t="n">
        <x:f>C14-D14</x:f>
        <x:v>1100</x:v>
      </x:c>
      <x:c r="G14" s="10" t="str">
        <x:v>额度不算现金收入；仍需支付1100</x:v>
      </x:c>
    </x:row>
    <x:row r="15" ht="28" customHeight="1">
      <x:c r="A15" s="10" t="str">
        <x:v>S06</x:v>
      </x:c>
      <x:c r="B15" s="10" t="str">
        <x:v>两阶段销售收入</x:v>
      </x:c>
      <x:c r="C15" s="14" t="n">
        <x:v>20</x:v>
      </x:c>
      <x:c r="D15" s="14" t="n">
        <x:v>11</x:v>
      </x:c>
      <x:c r="E15" s="14" t="n">
        <x:v>10</x:v>
      </x:c>
      <x:c r="F15" s="13" t="n">
        <x:f>C15*D15+C15*E15</x:f>
        <x:v>420</x:v>
      </x:c>
      <x:c r="G15" s="10" t="str">
        <x:v>每阶段20组；活动总销量含正常销售</x:v>
      </x:c>
    </x:row>
    <x:row r="16" ht="28" customHeight="1">
      <x:c r="A16" s="10" t="str">
        <x:v>S06</x:v>
      </x:c>
      <x:c r="B16" s="10" t="str">
        <x:v>组合已售成本</x:v>
      </x:c>
      <x:c r="C16" s="14" t="n">
        <x:v>40</x:v>
      </x:c>
      <x:c r="D16" s="14" t="n">
        <x:v>8</x:v>
      </x:c>
      <x:c r="E16" s="14"/>
      <x:c r="F16" s="13" t="n">
        <x:f>C16*D16</x:f>
        <x:v>320</x:v>
      </x:c>
      <x:c r="G16" s="10" t="str">
        <x:v>每组饼干5+果汁3</x:v>
      </x:c>
    </x:row>
    <x:row r="17" ht="28" customHeight="1">
      <x:c r="A17" s="10" t="str">
        <x:v>S06</x:v>
      </x:c>
      <x:c r="B17" s="10" t="str">
        <x:v>扣活动费用贡献</x:v>
      </x:c>
      <x:c r="C17" s="14" t="n">
        <x:v>20</x:v>
      </x:c>
      <x:c r="D17" s="14"/>
      <x:c r="E17" s="14"/>
      <x:c r="F17" s="13" t="n">
        <x:f>F15-F16-C17</x:f>
        <x:v>80</x:v>
      </x:c>
      <x:c r="G17" s="10" t="str">
        <x:v>假设回放不证明因果增益</x:v>
      </x:c>
    </x:row>
  </x:sheetData>
  <x:pageMargins left="0.7" right="0.7" top="0.75" bottom="0.75" header="0.3" footer="0.3"/>
</x:worksheet>
</file>